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VETLANA\Desktop\Акинчиц\Кампус\"/>
    </mc:Choice>
  </mc:AlternateContent>
  <xr:revisionPtr revIDLastSave="0" documentId="13_ncr:1_{55B6FF86-36D4-417A-BA2B-A0E2CF989B17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ОБЪЕКТЫ" sheetId="1" r:id="rId1"/>
    <sheet name="ПОМЕЩЕНИЯ" sheetId="2" r:id="rId2"/>
    <sheet name="Списки" sheetId="3" r:id="rId3"/>
    <sheet name="Пояснения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152" i="2" l="1" a="1"/>
  <c r="W152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<sst xmlns="http://schemas.openxmlformats.org/spreadsheetml/2006/main" count="161" uniqueCount="135">
  <si>
    <t>ID_объекта</t>
  </si>
  <si>
    <t>Тип объекта</t>
  </si>
  <si>
    <t>Адрес</t>
  </si>
  <si>
    <t>Выпадающий список</t>
  </si>
  <si>
    <t>учебный</t>
  </si>
  <si>
    <t>клинический</t>
  </si>
  <si>
    <t>административный</t>
  </si>
  <si>
    <t>ID_помещения</t>
  </si>
  <si>
    <t>Номер помещения</t>
  </si>
  <si>
    <t>Тип помещения</t>
  </si>
  <si>
    <t>Площадь (м2)</t>
  </si>
  <si>
    <t>Назначение (факт)</t>
  </si>
  <si>
    <t>Соответствие назначению</t>
  </si>
  <si>
    <t>Часы использования (в неделю)</t>
  </si>
  <si>
    <t>Использование в выходные</t>
  </si>
  <si>
    <t>Ограничения</t>
  </si>
  <si>
    <t>Описание ограничений</t>
  </si>
  <si>
    <t>Тип данных</t>
  </si>
  <si>
    <t>Источник данных</t>
  </si>
  <si>
    <t>Период учета</t>
  </si>
  <si>
    <t>Полнота данных</t>
  </si>
  <si>
    <t>спортивный</t>
  </si>
  <si>
    <t>научный</t>
  </si>
  <si>
    <t>многофункциональный</t>
  </si>
  <si>
    <t>инфраструктурный (инжереный/обслуживающий)</t>
  </si>
  <si>
    <t>иное</t>
  </si>
  <si>
    <t>Подтип помещения</t>
  </si>
  <si>
    <t xml:space="preserve">Тип объекта </t>
  </si>
  <si>
    <t>Лист ОБЪЕКТ</t>
  </si>
  <si>
    <t>Лист ПОМЕЩЕНИЯ</t>
  </si>
  <si>
    <t>аудитория</t>
  </si>
  <si>
    <t>лаборатория</t>
  </si>
  <si>
    <t>кабинет</t>
  </si>
  <si>
    <t>склад</t>
  </si>
  <si>
    <t>учебное</t>
  </si>
  <si>
    <t>клиническое</t>
  </si>
  <si>
    <t>научное</t>
  </si>
  <si>
    <t>административное</t>
  </si>
  <si>
    <t>спортивное</t>
  </si>
  <si>
    <t>социальное</t>
  </si>
  <si>
    <t>обеспечивающее</t>
  </si>
  <si>
    <t>да</t>
  </si>
  <si>
    <t>нет</t>
  </si>
  <si>
    <t>частично</t>
  </si>
  <si>
    <t>есть</t>
  </si>
  <si>
    <t>факт</t>
  </si>
  <si>
    <t>расчет</t>
  </si>
  <si>
    <t>оценка</t>
  </si>
  <si>
    <t>расписание</t>
  </si>
  <si>
    <t>журнал</t>
  </si>
  <si>
    <t>полные</t>
  </si>
  <si>
    <t>частичные</t>
  </si>
  <si>
    <t>лекционная</t>
  </si>
  <si>
    <t>практическая</t>
  </si>
  <si>
    <t>семинарская</t>
  </si>
  <si>
    <t>компьютерная</t>
  </si>
  <si>
    <t>многофункциональная</t>
  </si>
  <si>
    <t>Лаборатория</t>
  </si>
  <si>
    <t>К лабораториям относятся помещения, оснащенные специализированным оборудованием и требующие соблюдения особых условий эксплуатации.</t>
  </si>
  <si>
    <t>химическая</t>
  </si>
  <si>
    <t>биохимическая</t>
  </si>
  <si>
    <t>микробиологическая</t>
  </si>
  <si>
    <t>учебная лаборатория</t>
  </si>
  <si>
    <t>научная лаборатория</t>
  </si>
  <si>
    <t>клинико-диагностическая</t>
  </si>
  <si>
    <t>Классификация помещений по типу осуществляется независимо от их функционального назначения, которое отражается отдельным полем.</t>
  </si>
  <si>
    <t xml:space="preserve"> </t>
  </si>
  <si>
    <t>преподавательский</t>
  </si>
  <si>
    <t>врачебный</t>
  </si>
  <si>
    <t>универсальный</t>
  </si>
  <si>
    <t>Кабинет</t>
  </si>
  <si>
    <t>преподавательский (кафедры, ППС), административный (управление, службы), врачебный (амбулаторный прием, ординаторская), научный (рабочие кабинеты исследователей), универсальный (если непонятно/ смешанное использование)</t>
  </si>
  <si>
    <t>Специализированное помещение</t>
  </si>
  <si>
    <t>операционная</t>
  </si>
  <si>
    <t>процедурная</t>
  </si>
  <si>
    <t>перевязочная</t>
  </si>
  <si>
    <t>диагностическая</t>
  </si>
  <si>
    <t>симуляционный зал</t>
  </si>
  <si>
    <t>тренажерный зал (медицинский)</t>
  </si>
  <si>
    <t>спортивный зал</t>
  </si>
  <si>
    <t>бассейн</t>
  </si>
  <si>
    <t>читальный зал</t>
  </si>
  <si>
    <t>книгохранилище</t>
  </si>
  <si>
    <t>актовый зал</t>
  </si>
  <si>
    <t>конференц-зал</t>
  </si>
  <si>
    <t>хозяйственный</t>
  </si>
  <si>
    <t>материальный</t>
  </si>
  <si>
    <t>архивный</t>
  </si>
  <si>
    <t>медицинский</t>
  </si>
  <si>
    <t>электрощитовая</t>
  </si>
  <si>
    <t>серверная</t>
  </si>
  <si>
    <t>ИТП</t>
  </si>
  <si>
    <t>вентиляция</t>
  </si>
  <si>
    <t>насосная</t>
  </si>
  <si>
    <t>прочее техническое</t>
  </si>
  <si>
    <t>коридор</t>
  </si>
  <si>
    <t>холл/вестибюль</t>
  </si>
  <si>
    <t>гардероб</t>
  </si>
  <si>
    <t>лестничная клетка</t>
  </si>
  <si>
    <t>санузел/душевая</t>
  </si>
  <si>
    <t>кухня</t>
  </si>
  <si>
    <t>жилая комната</t>
  </si>
  <si>
    <t>специализированное_помещение</t>
  </si>
  <si>
    <r>
      <t xml:space="preserve">это помещения с </t>
    </r>
    <r>
      <rPr>
        <b/>
        <sz val="11"/>
        <color theme="1"/>
        <rFont val="Arial"/>
        <family val="2"/>
        <charset val="204"/>
      </rPr>
      <t>особым режимом, оборудованием или функцией</t>
    </r>
  </si>
  <si>
    <t>техническое_помещение</t>
  </si>
  <si>
    <t>вспомогательное_помещение</t>
  </si>
  <si>
    <t>жилое_помещение</t>
  </si>
  <si>
    <t>социальный</t>
  </si>
  <si>
    <t>Структурная принадлежность</t>
  </si>
  <si>
    <t>Правовой статус</t>
  </si>
  <si>
    <t>в оперативном управлении</t>
  </si>
  <si>
    <t>аренда</t>
  </si>
  <si>
    <t>Наименование объекта</t>
  </si>
  <si>
    <t>Общая площадь (м2)</t>
  </si>
  <si>
    <t xml:space="preserve">Полезная площадь (м2) </t>
  </si>
  <si>
    <t>Год ввода в эксплуатацию</t>
  </si>
  <si>
    <t>Состояние</t>
  </si>
  <si>
    <t>удовлетворительное</t>
  </si>
  <si>
    <t>требует ремонта</t>
  </si>
  <si>
    <t>аварийное</t>
  </si>
  <si>
    <t>Дата последнего капитального ремонта</t>
  </si>
  <si>
    <t>Коммунальные расходы</t>
  </si>
  <si>
    <t>Наличие доходной деятельности</t>
  </si>
  <si>
    <t>Доходы от использования (агрегировано)</t>
  </si>
  <si>
    <t>Наименование помещения</t>
  </si>
  <si>
    <t>Вместимость (для жилых помещений / палат)</t>
  </si>
  <si>
    <t>Режим использования</t>
  </si>
  <si>
    <t>постоянный</t>
  </si>
  <si>
    <t>частичный</t>
  </si>
  <si>
    <t>резерв</t>
  </si>
  <si>
    <t>не используется</t>
  </si>
  <si>
    <t>цифровая система</t>
  </si>
  <si>
    <t>Дата включения в Реестр</t>
  </si>
  <si>
    <t>Дата последней актуализации</t>
  </si>
  <si>
    <t>Примечание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</si>
</sst>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  <charset val="204"/>
    </font>
    <font>
      <sz val="11"/>
      <color theme="1"/>
      <name val="Arial Black"/>
      <family val="2"/>
      <charset val="204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0" xfId="0" applyFont="1" applyFill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2" fillId="2" borderId="0" xfId="0" applyFont="1" applyFill="1" applyAlignment="1">
      <alignment wrapText="1"/>
    </xf>
    <xf numFmtId="0" fontId="1" fillId="0" borderId="0" xfId="0" applyFont="1"/>
    <xf numFmtId="0" fontId="1" fillId="0" borderId="5" xfId="0" applyFont="1" applyBorder="1"/>
    <xf numFmtId="0" fontId="1" fillId="0" borderId="4" xfId="0" applyFont="1" applyBorder="1"/>
    <xf numFmtId="0" fontId="1" fillId="0" borderId="1" xfId="0" applyFont="1" applyBorder="1"/>
    <xf numFmtId="0" fontId="1" fillId="0" borderId="6" xfId="0" applyFont="1" applyBorder="1"/>
    <xf numFmtId="0" fontId="1" fillId="0" borderId="0" xfId="0" applyFont="1" applyBorder="1"/>
    <xf numFmtId="0" fontId="1" fillId="0" borderId="0" xfId="0" applyFont="1" applyAlignment="1">
      <alignment wrapText="1"/>
    </xf>
    <xf numFmtId="0" fontId="1" fillId="0" borderId="2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7" xfId="0" applyFont="1" applyBorder="1"/>
    <xf numFmtId="0" fontId="1" fillId="2" borderId="0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1" fillId="0" borderId="0" xfId="0" applyFont="1" applyFill="1" applyBorder="1"/>
    <xf numFmtId="0" fontId="4" fillId="0" borderId="0" xfId="0" applyFont="1"/>
    <xf numFmtId="0" fontId="4" fillId="0" borderId="0" xfId="0" applyFont="1" applyAlignment="1">
      <alignment wrapText="1"/>
    </xf>
    <xf numFmtId="0" fontId="4" fillId="0" borderId="2" xfId="0" applyFont="1" applyBorder="1" applyAlignment="1">
      <alignment wrapText="1"/>
    </xf>
  </cellXfs>
  <cellStyles count="1">
    <cellStyle name="Обычный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fill>
        <patternFill patternType="solid">
          <fgColor indexed="64"/>
          <bgColor theme="0" tint="-0.149998474074526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276925-E202-4B2D-8E1F-DFA5DCE52EA3}" name="аудитория" displayName="аудитория" ref="A21:A26" totalsRowShown="0" headerRowDxfId="23" dataDxfId="22">
  <autoFilter ref="A21:A26" xr:uid="{0D276925-E202-4B2D-8E1F-DFA5DCE52EA3}"/>
  <tableColumns count="1">
    <tableColumn id="1" xr3:uid="{AC7EC0D1-3B5C-433B-903C-99D1626B2389}" name="аудитория" dataDxfId="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E0C669-0BEB-4908-9C98-7389A310F736}" name="лаборатория" displayName="лаборатория" ref="B21:B27" totalsRowShown="0" headerRowDxfId="20" dataDxfId="19">
  <autoFilter ref="B21:B27" xr:uid="{33E0C669-0BEB-4908-9C98-7389A310F736}"/>
  <tableColumns count="1">
    <tableColumn id="1" xr3:uid="{6DCC45EC-A539-422B-9BF4-D0FCCCB3A5BE}" name="лаборатория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41C52FE-EEF8-4B33-A5F3-59638582C829}" name="кабинет" displayName="кабинет" ref="C21:C26" totalsRowShown="0" headerRowDxfId="17" dataDxfId="16">
  <autoFilter ref="C21:C26" xr:uid="{241C52FE-EEF8-4B33-A5F3-59638582C829}"/>
  <tableColumns count="1">
    <tableColumn id="1" xr3:uid="{95BA72F1-FE95-4FDB-8DAB-E7756146C28C}" name="кабинет" dataDxfId="1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81A0CAB-D6A6-4F17-A777-423A4002279E}" name="специализированное_помещение" displayName="специализированное_помещение" ref="D21:D33" totalsRowShown="0" headerRowDxfId="14" dataDxfId="13">
  <autoFilter ref="D21:D33" xr:uid="{281A0CAB-D6A6-4F17-A777-423A4002279E}"/>
  <tableColumns count="1">
    <tableColumn id="1" xr3:uid="{A2592857-BE7D-4A66-A732-E04FDDC5FC74}" name="специализированное_помещение" dataDxfId="1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1190EFD-B1C8-4004-BCDD-0E56573FF475}" name="склад" displayName="склад" ref="E21:E26" totalsRowShown="0" headerRowDxfId="11" dataDxfId="10">
  <autoFilter ref="E21:E26" xr:uid="{C1190EFD-B1C8-4004-BCDD-0E56573FF475}"/>
  <tableColumns count="1">
    <tableColumn id="1" xr3:uid="{A57822E7-3AAF-4A8E-AF25-D042634F1975}" name="склад" dataDxfId="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6219C2D-2545-405C-8628-1D8379AB63E3}" name="Таблица6" displayName="Таблица6" ref="F21:F27" totalsRowShown="0" headerRowDxfId="8" dataDxfId="7">
  <autoFilter ref="F21:F27" xr:uid="{B6219C2D-2545-405C-8628-1D8379AB63E3}"/>
  <tableColumns count="1">
    <tableColumn id="1" xr3:uid="{73AFA57A-CE23-4E72-8C1F-B650E87A4D62}" name="техническое_помещение" dataDxfId="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3F7F335-3341-48D7-A731-83420ED71EF8}" name="вспомогательное_помещение" displayName="вспомогательное_помещение" ref="G21:G27" totalsRowShown="0" headerRowDxfId="5" dataDxfId="4">
  <autoFilter ref="G21:G27" xr:uid="{63F7F335-3341-48D7-A731-83420ED71EF8}"/>
  <tableColumns count="1">
    <tableColumn id="1" xr3:uid="{35596901-5277-4E18-AEEA-41A8806FF3C8}" name="вспомогательное_помещение" dataDxfId="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B2AFF5C-DC0B-4071-86BF-18D0E711E931}" name="жилое_помещение" displayName="жилое_помещение" ref="H21:H22" totalsRowShown="0" headerRowDxfId="2" dataDxfId="1">
  <autoFilter ref="H21:H22" xr:uid="{2B2AFF5C-DC0B-4071-86BF-18D0E711E931}"/>
  <tableColumns count="1">
    <tableColumn id="1" xr3:uid="{CE89DBFD-C072-4F31-A6D9-54BC6A1BC47C}" name="жилое_помещение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"/>
  <sheetViews>
    <sheetView workbookViewId="0">
      <pane ySplit="1" topLeftCell="A9700" activePane="bottomLeft" state="frozen"/>
      <selection pane="bottomLeft" activeCell="C9700" sqref="C9700"/>
    </sheetView>
  </sheetViews>
  <sheetFormatPr defaultRowHeight="14.25" x14ac:dyDescent="0.2"/>
  <cols>
    <col min="1" max="1" width="19.28515625" style="4" customWidth="1"/>
    <col min="2" max="2" width="23.7109375" style="4" customWidth="1"/>
    <col min="3" max="3" width="21.140625" style="4" customWidth="1"/>
    <col min="4" max="5" width="24.85546875" style="4" customWidth="1"/>
    <col min="6" max="6" width="25.7109375" style="4" customWidth="1"/>
    <col min="7" max="7" width="19.28515625" style="4" customWidth="1"/>
    <col min="8" max="8" width="19" style="4" customWidth="1"/>
    <col min="9" max="9" width="22.42578125" style="4" customWidth="1"/>
    <col min="10" max="10" width="18.28515625" style="4" customWidth="1"/>
    <col min="11" max="11" width="25" style="4" customWidth="1"/>
    <col min="12" max="12" width="22" style="4" customWidth="1"/>
    <col min="13" max="13" width="23.7109375" style="4" customWidth="1"/>
    <col min="14" max="14" width="22" style="4" customWidth="1"/>
    <col min="15" max="16384" width="9.140625" style="4"/>
  </cols>
  <sheetData>
    <row r="1" spans="1:14" ht="56.25" x14ac:dyDescent="0.4">
      <c r="A1" s="1" t="s">
        <v>0</v>
      </c>
      <c r="B1" s="3" t="s">
        <v>112</v>
      </c>
      <c r="C1" s="2" t="s">
        <v>1</v>
      </c>
      <c r="D1" s="2" t="s">
        <v>2</v>
      </c>
      <c r="E1" s="3" t="s">
        <v>108</v>
      </c>
      <c r="F1" s="2" t="s">
        <v>109</v>
      </c>
      <c r="G1" s="3" t="s">
        <v>113</v>
      </c>
      <c r="H1" s="3" t="s">
        <v>114</v>
      </c>
      <c r="I1" s="3" t="s">
        <v>115</v>
      </c>
      <c r="J1" s="3" t="s">
        <v>116</v>
      </c>
      <c r="K1" s="3" t="s">
        <v>120</v>
      </c>
      <c r="L1" s="3" t="s">
        <v>121</v>
      </c>
      <c r="M1" s="3" t="s">
        <v>122</v>
      </c>
      <c r="N1" s="3" t="s">
        <v>123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2C940F2-DF06-46E1-B1BC-8950339F255E}">
          <x14:formula1>
            <xm:f>Списки!$A$4:$A$12</xm:f>
          </x14:formula1>
          <xm:sqref>C2:C4689</xm:sqref>
        </x14:dataValidation>
        <x14:dataValidation type="list" allowBlank="1" showInputMessage="1" showErrorMessage="1" xr:uid="{7EDFA28D-6700-4BDD-8E31-AD388DDAB0B3}">
          <x14:formula1>
            <xm:f>Списки!$B$4:$B$6</xm:f>
          </x14:formula1>
          <xm:sqref>F2:F7541</xm:sqref>
        </x14:dataValidation>
        <x14:dataValidation type="list" allowBlank="1" showInputMessage="1" showErrorMessage="1" xr:uid="{BD3588A1-12FC-4FBC-BC8C-F0F1736B289C}">
          <x14:formula1>
            <xm:f>Списки!$B$10:$B$12</xm:f>
          </x14:formula1>
          <xm:sqref>J2:J12113</xm:sqref>
        </x14:dataValidation>
        <x14:dataValidation type="list" allowBlank="1" showInputMessage="1" showErrorMessage="1" xr:uid="{E3577EDF-4E20-4B2E-935E-F63C8A1E03A3}">
          <x14:formula1>
            <xm:f>Списки!$C$4:$C$5</xm:f>
          </x14:formula1>
          <xm:sqref>M2:M9726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AB74B-CF30-47C5-91AA-6409E275B25D}">
  <dimension ref="A1:W156"/>
  <sheetViews>
    <sheetView tabSelected="1" topLeftCell="J1" workbookViewId="0">
      <pane ySplit="1" topLeftCell="A2" activePane="bottomLeft" state="frozen"/>
      <selection pane="bottomLeft" activeCell="E2" sqref="E2"/>
    </sheetView>
  </sheetViews>
  <sheetFormatPr defaultRowHeight="14.25" x14ac:dyDescent="0.2"/>
  <cols>
    <col min="1" max="1" width="20.5703125" style="4" customWidth="1"/>
    <col min="2" max="2" width="17.28515625" style="4" customWidth="1"/>
    <col min="3" max="3" width="18.140625" style="4" customWidth="1"/>
    <col min="4" max="4" width="23" style="4" customWidth="1"/>
    <col min="5" max="5" width="16.7109375" style="4" customWidth="1"/>
    <col min="6" max="6" width="18.28515625" style="4" customWidth="1"/>
    <col min="7" max="7" width="18.42578125" style="4" customWidth="1"/>
    <col min="8" max="8" width="20.42578125" style="4" customWidth="1"/>
    <col min="9" max="11" width="21.85546875" style="4" customWidth="1"/>
    <col min="12" max="13" width="23.28515625" style="4" customWidth="1"/>
    <col min="14" max="14" width="17.85546875" style="4" customWidth="1"/>
    <col min="15" max="15" width="20" style="4" customWidth="1"/>
    <col min="16" max="16" width="15.7109375" style="4" customWidth="1"/>
    <col min="17" max="17" width="17.7109375" style="4" customWidth="1"/>
    <col min="18" max="18" width="18.140625" style="4" customWidth="1"/>
    <col min="19" max="19" width="16" style="4" customWidth="1"/>
    <col min="20" max="20" width="20.42578125" style="4" customWidth="1"/>
    <col min="21" max="21" width="20.85546875" style="4" customWidth="1"/>
    <col min="22" max="22" width="17.28515625" style="4" customWidth="1"/>
    <col min="23" max="16384" width="9.140625" style="4"/>
  </cols>
  <sheetData>
    <row r="1" spans="1:22" s="2" customFormat="1" ht="75" customHeight="1" x14ac:dyDescent="0.4">
      <c r="A1" s="1" t="s">
        <v>7</v>
      </c>
      <c r="B1" s="2" t="s">
        <v>0</v>
      </c>
      <c r="C1" s="3" t="s">
        <v>8</v>
      </c>
      <c r="D1" s="3" t="s">
        <v>124</v>
      </c>
      <c r="E1" s="3" t="s">
        <v>9</v>
      </c>
      <c r="F1" s="3" t="s">
        <v>26</v>
      </c>
      <c r="G1" s="3" t="s">
        <v>11</v>
      </c>
      <c r="H1" s="3" t="s">
        <v>12</v>
      </c>
      <c r="I1" s="5" t="s">
        <v>10</v>
      </c>
      <c r="J1" s="3" t="s">
        <v>125</v>
      </c>
      <c r="K1" s="5" t="s">
        <v>13</v>
      </c>
      <c r="L1" s="3" t="s">
        <v>14</v>
      </c>
      <c r="M1" s="3" t="s">
        <v>126</v>
      </c>
      <c r="N1" s="3" t="s">
        <v>15</v>
      </c>
      <c r="O1" s="3" t="s">
        <v>16</v>
      </c>
      <c r="P1" s="3" t="s">
        <v>17</v>
      </c>
      <c r="Q1" s="3" t="s">
        <v>18</v>
      </c>
      <c r="R1" s="5" t="s">
        <v>19</v>
      </c>
      <c r="S1" s="3" t="s">
        <v>20</v>
      </c>
      <c r="T1" s="3" t="s">
        <v>132</v>
      </c>
      <c r="U1" s="3" t="s">
        <v>133</v>
      </c>
      <c r="V1" s="2" t="s">
        <v>134</v>
      </c>
    </row>
    <row r="150" spans="5:23" x14ac:dyDescent="0.2">
      <c r="E150" s="4" t="s">
        <v>30</v>
      </c>
    </row>
    <row r="151" spans="5:23" x14ac:dyDescent="0.2">
      <c r="E151" s="4" t="s">
        <v>31</v>
      </c>
    </row>
    <row r="152" spans="5:23" x14ac:dyDescent="0.2">
      <c r="W152" s="4" t="str" cm="1">
        <f t="array" aca="1" ref="W152:W156" ca="1">INDIRECT(E150)</f>
        <v>лекционная</v>
      </c>
    </row>
    <row r="153" spans="5:23" x14ac:dyDescent="0.2">
      <c r="W153" s="4" t="str">
        <f ca="1"/>
        <v>практическая</v>
      </c>
    </row>
    <row r="154" spans="5:23" x14ac:dyDescent="0.2">
      <c r="W154" s="4" t="str">
        <f ca="1"/>
        <v>семинарская</v>
      </c>
    </row>
    <row r="155" spans="5:23" x14ac:dyDescent="0.2">
      <c r="W155" s="4" t="str">
        <f ca="1"/>
        <v>компьютерная</v>
      </c>
    </row>
    <row r="156" spans="5:23" x14ac:dyDescent="0.2">
      <c r="W156" s="4" t="str">
        <f ca="1"/>
        <v>многофункциональная</v>
      </c>
    </row>
  </sheetData>
  <dataValidations count="1">
    <dataValidation type="list" allowBlank="1" showInputMessage="1" showErrorMessage="1" sqref="F2:F10410" xr:uid="{F49EE933-E3C0-4326-A906-C7DAD3D5DFF3}">
      <formula1>INDIRECT(E2)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D978F566-2F51-4C6B-A2F1-916A400262B3}">
          <x14:formula1>
            <xm:f>Списки!$B$4:$B$10</xm:f>
          </x14:formula1>
          <xm:sqref>E16500:E22131</xm:sqref>
        </x14:dataValidation>
        <x14:dataValidation type="list" allowBlank="1" showInputMessage="1" showErrorMessage="1" xr:uid="{DF0CC69F-73D9-463E-B79D-F1FD98654623}">
          <x14:formula1>
            <xm:f>Списки!$E$4:$E$10</xm:f>
          </x14:formula1>
          <xm:sqref>G2:G4283</xm:sqref>
        </x14:dataValidation>
        <x14:dataValidation type="list" allowBlank="1" showInputMessage="1" showErrorMessage="1" xr:uid="{ADD505EF-486F-49BD-AAF8-76076DBF4A0E}">
          <x14:formula1>
            <xm:f>Списки!$F$4:$F$6</xm:f>
          </x14:formula1>
          <xm:sqref>H2:H4706</xm:sqref>
        </x14:dataValidation>
        <x14:dataValidation type="list" allowBlank="1" showInputMessage="1" showErrorMessage="1" xr:uid="{4DDE59AA-D247-41D2-9C36-AEC28D0EDA09}">
          <x14:formula1>
            <xm:f>Списки!$G$4:$G$5</xm:f>
          </x14:formula1>
          <xm:sqref>L2:L16405 M993:M16405</xm:sqref>
        </x14:dataValidation>
        <x14:dataValidation type="list" allowBlank="1" showInputMessage="1" showErrorMessage="1" xr:uid="{6FD652AC-88ED-47C6-B3DD-A5C0D6F80558}">
          <x14:formula1>
            <xm:f>Списки!$H$4:$H$5</xm:f>
          </x14:formula1>
          <xm:sqref>N2:N8441</xm:sqref>
        </x14:dataValidation>
        <x14:dataValidation type="list" allowBlank="1" showInputMessage="1" showErrorMessage="1" xr:uid="{4060E0DD-ECF2-44AB-8DBE-C41EB9A7A237}">
          <x14:formula1>
            <xm:f>Списки!$I$4:$I$6</xm:f>
          </x14:formula1>
          <xm:sqref>P2:P12029</xm:sqref>
        </x14:dataValidation>
        <x14:dataValidation type="list" allowBlank="1" showInputMessage="1" showErrorMessage="1" xr:uid="{DCEC10F1-3858-4912-A9B8-ECA62347F635}">
          <x14:formula1>
            <xm:f>Списки!$J$4:$J$6</xm:f>
          </x14:formula1>
          <xm:sqref>Q3:Q9653</xm:sqref>
        </x14:dataValidation>
        <x14:dataValidation type="list" allowBlank="1" showInputMessage="1" showErrorMessage="1" xr:uid="{DAB79423-71D4-4CDA-9DE1-7650F740E8DD}">
          <x14:formula1>
            <xm:f>Списки!$K$4:$K$5</xm:f>
          </x14:formula1>
          <xm:sqref>S2:S2870</xm:sqref>
        </x14:dataValidation>
        <x14:dataValidation type="list" allowBlank="1" showInputMessage="1" showErrorMessage="1" xr:uid="{1D5F445A-113B-4142-88A8-0D443E977FF4}">
          <x14:formula1>
            <xm:f>Списки!$A$21:$H$21</xm:f>
          </x14:formula1>
          <xm:sqref>E2:E16499</xm:sqref>
        </x14:dataValidation>
        <x14:dataValidation type="list" allowBlank="1" showInputMessage="1" showErrorMessage="1" xr:uid="{777D4097-B7B9-4990-B113-B70B1202F7AA}">
          <x14:formula1>
            <xm:f>Списки!$J$4:$J$7</xm:f>
          </x14:formula1>
          <xm:sqref>Q2</xm:sqref>
        </x14:dataValidation>
        <x14:dataValidation type="list" allowBlank="1" showInputMessage="1" showErrorMessage="1" xr:uid="{C4551B8D-F556-402E-83A4-B93885C271AF}">
          <x14:formula1>
            <xm:f>Списки!$G$9:$G$12</xm:f>
          </x14:formula1>
          <xm:sqref>M2:M992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02E29-564E-46BA-A06E-F961C4AAE4E5}">
  <dimension ref="A1:K33"/>
  <sheetViews>
    <sheetView topLeftCell="H1" workbookViewId="0">
      <selection activeCell="I12" sqref="I12"/>
    </sheetView>
  </sheetViews>
  <sheetFormatPr defaultRowHeight="14.25" x14ac:dyDescent="0.2"/>
  <cols>
    <col min="1" max="1" width="32.28515625" style="6" customWidth="1"/>
    <col min="2" max="2" width="34.7109375" style="6" customWidth="1"/>
    <col min="3" max="3" width="31.7109375" style="6" customWidth="1"/>
    <col min="4" max="4" width="35" style="6" customWidth="1"/>
    <col min="5" max="5" width="19.85546875" style="6" customWidth="1"/>
    <col min="6" max="6" width="29.85546875" style="6" customWidth="1"/>
    <col min="7" max="7" width="35.140625" style="6" customWidth="1"/>
    <col min="8" max="8" width="23.85546875" style="6" customWidth="1"/>
    <col min="9" max="9" width="28.7109375" style="6" customWidth="1"/>
    <col min="10" max="10" width="24.140625" style="6" customWidth="1"/>
    <col min="11" max="11" width="26.28515625" style="6" customWidth="1"/>
    <col min="12" max="16384" width="9.140625" style="6"/>
  </cols>
  <sheetData>
    <row r="1" spans="1:11" x14ac:dyDescent="0.2">
      <c r="A1" s="6" t="s">
        <v>3</v>
      </c>
    </row>
    <row r="2" spans="1:11" x14ac:dyDescent="0.2">
      <c r="A2" s="7" t="s">
        <v>28</v>
      </c>
      <c r="B2" s="13"/>
      <c r="C2" s="9"/>
    </row>
    <row r="3" spans="1:11" ht="37.5" x14ac:dyDescent="0.4">
      <c r="A3" s="10" t="s">
        <v>27</v>
      </c>
      <c r="B3" s="23" t="s">
        <v>109</v>
      </c>
      <c r="C3" s="3" t="s">
        <v>122</v>
      </c>
      <c r="E3" s="21" t="s">
        <v>11</v>
      </c>
      <c r="F3" s="22" t="s">
        <v>12</v>
      </c>
      <c r="G3" s="22" t="s">
        <v>14</v>
      </c>
      <c r="H3" s="22" t="s">
        <v>15</v>
      </c>
      <c r="I3" s="22" t="s">
        <v>17</v>
      </c>
      <c r="J3" s="22" t="s">
        <v>18</v>
      </c>
      <c r="K3" s="22" t="s">
        <v>20</v>
      </c>
    </row>
    <row r="4" spans="1:11" x14ac:dyDescent="0.2">
      <c r="A4" s="10" t="s">
        <v>4</v>
      </c>
      <c r="B4" s="13" t="s">
        <v>110</v>
      </c>
      <c r="C4" s="13" t="s">
        <v>41</v>
      </c>
      <c r="E4" s="6" t="s">
        <v>34</v>
      </c>
      <c r="F4" s="6" t="s">
        <v>41</v>
      </c>
      <c r="G4" s="6" t="s">
        <v>41</v>
      </c>
      <c r="H4" s="6" t="s">
        <v>44</v>
      </c>
      <c r="I4" s="6" t="s">
        <v>45</v>
      </c>
      <c r="J4" s="6" t="s">
        <v>48</v>
      </c>
      <c r="K4" s="6" t="s">
        <v>50</v>
      </c>
    </row>
    <row r="5" spans="1:11" x14ac:dyDescent="0.2">
      <c r="A5" s="10" t="s">
        <v>5</v>
      </c>
      <c r="B5" s="13" t="s">
        <v>111</v>
      </c>
      <c r="C5" s="13" t="s">
        <v>42</v>
      </c>
      <c r="E5" s="6" t="s">
        <v>35</v>
      </c>
      <c r="F5" s="6" t="s">
        <v>42</v>
      </c>
      <c r="G5" s="6" t="s">
        <v>42</v>
      </c>
      <c r="H5" s="6" t="s">
        <v>42</v>
      </c>
      <c r="I5" s="6" t="s">
        <v>46</v>
      </c>
      <c r="J5" s="6" t="s">
        <v>49</v>
      </c>
      <c r="K5" s="6" t="s">
        <v>51</v>
      </c>
    </row>
    <row r="6" spans="1:11" x14ac:dyDescent="0.2">
      <c r="A6" s="10" t="s">
        <v>107</v>
      </c>
      <c r="B6" s="13" t="s">
        <v>25</v>
      </c>
      <c r="C6" s="13"/>
      <c r="E6" s="6" t="s">
        <v>36</v>
      </c>
      <c r="F6" s="6" t="s">
        <v>43</v>
      </c>
      <c r="I6" s="6" t="s">
        <v>47</v>
      </c>
      <c r="J6" s="6" t="s">
        <v>47</v>
      </c>
    </row>
    <row r="7" spans="1:11" x14ac:dyDescent="0.2">
      <c r="A7" s="10" t="s">
        <v>21</v>
      </c>
      <c r="B7" s="13"/>
      <c r="C7" s="13"/>
      <c r="E7" s="6" t="s">
        <v>37</v>
      </c>
      <c r="J7" s="6" t="s">
        <v>131</v>
      </c>
    </row>
    <row r="8" spans="1:11" ht="15" x14ac:dyDescent="0.25">
      <c r="A8" s="10" t="s">
        <v>22</v>
      </c>
      <c r="B8" s="13"/>
      <c r="C8" s="13"/>
      <c r="E8" s="6" t="s">
        <v>38</v>
      </c>
      <c r="G8" s="21" t="s">
        <v>126</v>
      </c>
    </row>
    <row r="9" spans="1:11" ht="15" x14ac:dyDescent="0.25">
      <c r="A9" s="10" t="s">
        <v>6</v>
      </c>
      <c r="B9" s="23" t="s">
        <v>116</v>
      </c>
      <c r="C9" s="13"/>
      <c r="E9" s="6" t="s">
        <v>39</v>
      </c>
      <c r="G9" s="6" t="s">
        <v>127</v>
      </c>
    </row>
    <row r="10" spans="1:11" x14ac:dyDescent="0.2">
      <c r="A10" s="10" t="s">
        <v>23</v>
      </c>
      <c r="B10" s="13" t="s">
        <v>117</v>
      </c>
      <c r="C10" s="13"/>
      <c r="E10" s="6" t="s">
        <v>40</v>
      </c>
      <c r="G10" s="6" t="s">
        <v>128</v>
      </c>
    </row>
    <row r="11" spans="1:11" ht="28.5" x14ac:dyDescent="0.2">
      <c r="A11" s="14" t="s">
        <v>24</v>
      </c>
      <c r="B11" s="13" t="s">
        <v>118</v>
      </c>
      <c r="C11" s="15"/>
      <c r="G11" s="6" t="s">
        <v>129</v>
      </c>
    </row>
    <row r="12" spans="1:11" x14ac:dyDescent="0.2">
      <c r="A12" s="16" t="s">
        <v>25</v>
      </c>
      <c r="B12" s="13" t="s">
        <v>119</v>
      </c>
      <c r="G12" s="6" t="s">
        <v>130</v>
      </c>
    </row>
    <row r="13" spans="1:11" x14ac:dyDescent="0.2">
      <c r="B13" s="13"/>
    </row>
    <row r="14" spans="1:11" x14ac:dyDescent="0.2">
      <c r="B14" s="13"/>
    </row>
    <row r="19" spans="1:8" x14ac:dyDescent="0.2">
      <c r="A19" s="8" t="s">
        <v>29</v>
      </c>
    </row>
    <row r="20" spans="1:8" x14ac:dyDescent="0.2">
      <c r="A20" s="11" t="s">
        <v>9</v>
      </c>
    </row>
    <row r="21" spans="1:8" x14ac:dyDescent="0.2">
      <c r="A21" s="17" t="s">
        <v>30</v>
      </c>
      <c r="B21" s="18" t="s">
        <v>31</v>
      </c>
      <c r="C21" s="18" t="s">
        <v>32</v>
      </c>
      <c r="D21" s="19" t="s">
        <v>102</v>
      </c>
      <c r="E21" s="18" t="s">
        <v>33</v>
      </c>
      <c r="F21" s="19" t="s">
        <v>104</v>
      </c>
      <c r="G21" s="19" t="s">
        <v>105</v>
      </c>
      <c r="H21" s="19" t="s">
        <v>106</v>
      </c>
    </row>
    <row r="22" spans="1:8" x14ac:dyDescent="0.2">
      <c r="A22" s="20" t="s">
        <v>52</v>
      </c>
      <c r="B22" s="6" t="s">
        <v>59</v>
      </c>
      <c r="C22" s="6" t="s">
        <v>67</v>
      </c>
      <c r="D22" s="6" t="s">
        <v>73</v>
      </c>
      <c r="E22" s="6" t="s">
        <v>85</v>
      </c>
      <c r="F22" s="6" t="s">
        <v>89</v>
      </c>
      <c r="G22" s="6" t="s">
        <v>95</v>
      </c>
      <c r="H22" s="6" t="s">
        <v>101</v>
      </c>
    </row>
    <row r="23" spans="1:8" x14ac:dyDescent="0.2">
      <c r="A23" s="20" t="s">
        <v>53</v>
      </c>
      <c r="B23" s="6" t="s">
        <v>60</v>
      </c>
      <c r="C23" s="6" t="s">
        <v>6</v>
      </c>
      <c r="D23" s="6" t="s">
        <v>74</v>
      </c>
      <c r="E23" s="6" t="s">
        <v>86</v>
      </c>
      <c r="F23" s="6" t="s">
        <v>90</v>
      </c>
      <c r="G23" s="6" t="s">
        <v>96</v>
      </c>
    </row>
    <row r="24" spans="1:8" x14ac:dyDescent="0.2">
      <c r="A24" s="20" t="s">
        <v>54</v>
      </c>
      <c r="B24" s="6" t="s">
        <v>61</v>
      </c>
      <c r="C24" s="6" t="s">
        <v>68</v>
      </c>
      <c r="D24" s="6" t="s">
        <v>75</v>
      </c>
      <c r="E24" s="6" t="s">
        <v>87</v>
      </c>
      <c r="F24" s="6" t="s">
        <v>91</v>
      </c>
      <c r="G24" s="6" t="s">
        <v>99</v>
      </c>
    </row>
    <row r="25" spans="1:8" x14ac:dyDescent="0.2">
      <c r="A25" s="20" t="s">
        <v>55</v>
      </c>
      <c r="B25" s="6" t="s">
        <v>62</v>
      </c>
      <c r="C25" s="6" t="s">
        <v>22</v>
      </c>
      <c r="D25" s="6" t="s">
        <v>76</v>
      </c>
      <c r="E25" s="6" t="s">
        <v>88</v>
      </c>
      <c r="F25" s="6" t="s">
        <v>92</v>
      </c>
      <c r="G25" s="6" t="s">
        <v>97</v>
      </c>
    </row>
    <row r="26" spans="1:8" x14ac:dyDescent="0.2">
      <c r="A26" s="20" t="s">
        <v>56</v>
      </c>
      <c r="B26" s="6" t="s">
        <v>63</v>
      </c>
      <c r="C26" s="6" t="s">
        <v>69</v>
      </c>
      <c r="D26" s="6" t="s">
        <v>77</v>
      </c>
      <c r="E26" s="6" t="s">
        <v>69</v>
      </c>
      <c r="F26" s="6" t="s">
        <v>93</v>
      </c>
      <c r="G26" s="6" t="s">
        <v>98</v>
      </c>
    </row>
    <row r="27" spans="1:8" x14ac:dyDescent="0.2">
      <c r="B27" s="6" t="s">
        <v>64</v>
      </c>
      <c r="D27" s="12" t="s">
        <v>78</v>
      </c>
      <c r="F27" s="12" t="s">
        <v>94</v>
      </c>
      <c r="G27" s="6" t="s">
        <v>100</v>
      </c>
    </row>
    <row r="28" spans="1:8" x14ac:dyDescent="0.2">
      <c r="D28" s="6" t="s">
        <v>79</v>
      </c>
    </row>
    <row r="29" spans="1:8" x14ac:dyDescent="0.2">
      <c r="D29" s="6" t="s">
        <v>80</v>
      </c>
    </row>
    <row r="30" spans="1:8" x14ac:dyDescent="0.2">
      <c r="D30" s="6" t="s">
        <v>81</v>
      </c>
    </row>
    <row r="31" spans="1:8" x14ac:dyDescent="0.2">
      <c r="D31" s="6" t="s">
        <v>82</v>
      </c>
    </row>
    <row r="32" spans="1:8" x14ac:dyDescent="0.2">
      <c r="D32" s="6" t="s">
        <v>83</v>
      </c>
    </row>
    <row r="33" spans="4:4" x14ac:dyDescent="0.2">
      <c r="D33" s="6" t="s">
        <v>84</v>
      </c>
    </row>
  </sheetData>
  <pageMargins left="0.7" right="0.7" top="0.75" bottom="0.75" header="0.3" footer="0.3"/>
  <pageSetup paperSize="9" orientation="portrait"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15AEB-5B3C-409B-818A-852524698F2C}">
  <dimension ref="A1:B9"/>
  <sheetViews>
    <sheetView workbookViewId="0">
      <selection activeCell="B8" sqref="B8"/>
    </sheetView>
  </sheetViews>
  <sheetFormatPr defaultRowHeight="14.25" x14ac:dyDescent="0.2"/>
  <cols>
    <col min="1" max="1" width="20.140625" style="6" customWidth="1"/>
    <col min="2" max="2" width="82.7109375" style="6" customWidth="1"/>
    <col min="3" max="16384" width="9.140625" style="6"/>
  </cols>
  <sheetData>
    <row r="1" spans="1:2" ht="28.5" x14ac:dyDescent="0.2">
      <c r="A1" s="6" t="s">
        <v>9</v>
      </c>
      <c r="B1" s="12" t="s">
        <v>65</v>
      </c>
    </row>
    <row r="2" spans="1:2" ht="28.5" x14ac:dyDescent="0.2">
      <c r="A2" s="6" t="s">
        <v>57</v>
      </c>
      <c r="B2" s="12" t="s">
        <v>58</v>
      </c>
    </row>
    <row r="3" spans="1:2" ht="42.75" x14ac:dyDescent="0.2">
      <c r="A3" s="6" t="s">
        <v>70</v>
      </c>
      <c r="B3" s="12" t="s">
        <v>71</v>
      </c>
    </row>
    <row r="4" spans="1:2" ht="29.25" x14ac:dyDescent="0.25">
      <c r="A4" s="12" t="s">
        <v>72</v>
      </c>
      <c r="B4" s="12" t="s">
        <v>103</v>
      </c>
    </row>
    <row r="9" spans="1:2" x14ac:dyDescent="0.2">
      <c r="B9" s="6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ОБЪЕКТЫ</vt:lpstr>
      <vt:lpstr>ПОМЕЩЕНИЯ</vt:lpstr>
      <vt:lpstr>Списки</vt:lpstr>
      <vt:lpstr>Пояснения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SVETLANA</dc:creator>
  <cp:lastModifiedBy>SVETLANA</cp:lastModifiedBy>
  <dcterms:created xsi:type="dcterms:W3CDTF">2015-06-05T18:17:20Z</dcterms:created>
  <dcterms:modified xsi:type="dcterms:W3CDTF">2026-04-21T11:57:07Z</dcterms:modified>
</cp:coreProperties>
</file>